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Validation Calculator" sheetId="2" state="visible" r:id="rId2"/>
    <sheet name="YoY Comparison" sheetId="3" state="visible" r:id="rId3"/>
    <sheet name="Municipality Scorecard" sheetId="4" state="visible" r:id="rId4"/>
    <sheet name="Anomaly Summary" sheetId="5" state="visible" r:id="rId5"/>
    <sheet name="Rate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1F4E79"/>
      <sz val="11"/>
    </font>
    <font>
      <name val="Arial"/>
      <sz val="11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276221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0" fontId="8" fillId="6" borderId="1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9" fillId="7" borderId="0" applyAlignment="1" pivotButton="0" quotePrefix="0" xfId="0">
      <alignment horizontal="center" vertical="center"/>
    </xf>
    <xf numFmtId="4" fontId="8" fillId="0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75" customWidth="1" min="3" max="3"/>
  </cols>
  <sheetData>
    <row r="2" ht="25" customHeight="1">
      <c r="B2" s="1" t="inlineStr">
        <is>
          <t>Ontario Property Tax
Data Quality &amp; Validation Framework</t>
        </is>
      </c>
    </row>
    <row r="3" ht="25" customHeight="1"/>
    <row r="4" ht="25" customHeight="1"/>
    <row r="5" ht="25" customHeight="1"/>
    <row r="7" ht="25" customHeight="1">
      <c r="B7" s="2" t="inlineStr">
        <is>
          <t>Data Source</t>
        </is>
      </c>
      <c r="C7" s="3" t="inlineStr">
        <is>
          <t>Ontario MMAH -- Financial Information Return (FIR) portal</t>
        </is>
      </c>
    </row>
    <row r="9" ht="25" customHeight="1">
      <c r="B9" s="2" t="inlineStr">
        <is>
          <t>Coverage</t>
        </is>
      </c>
      <c r="C9" s="3" t="inlineStr">
        <is>
          <t>10 Ontario municipalities -- 2022 and 2023</t>
        </is>
      </c>
    </row>
    <row r="11" ht="25" customHeight="1">
      <c r="B11" s="2" t="inlineStr">
        <is>
          <t>Key Finding</t>
        </is>
      </c>
      <c r="C11" s="3" t="inlineStr">
        <is>
          <t>Hamilton did not submit FIR for 2023 (deadline: May 31 2024)</t>
        </is>
      </c>
    </row>
    <row r="13" ht="25" customHeight="1">
      <c r="B13" s="2" t="inlineStr">
        <is>
          <t>Methodology</t>
        </is>
      </c>
      <c r="C13" s="3" t="inlineStr">
        <is>
          <t>Implied rate = Tax Levied / CVA -- validated against year over year trends</t>
        </is>
      </c>
    </row>
    <row r="15" ht="25" customHeight="1">
      <c r="B15" s="2" t="inlineStr">
        <is>
          <t>Purpose</t>
        </is>
      </c>
      <c r="C15" s="3" t="inlineStr">
        <is>
          <t>Validate that reported property tax levies are consistent with assessed values</t>
        </is>
      </c>
    </row>
  </sheetData>
  <mergeCells count="1">
    <mergeCell ref="B2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22" customWidth="1" min="4" max="4"/>
    <col width="18" customWidth="1" min="5" max="5"/>
    <col width="22" customWidth="1" min="6" max="6"/>
    <col width="22" customWidth="1" min="7" max="7"/>
    <col width="18" customWidth="1" min="8" max="8"/>
    <col width="14" customWidth="1" min="9" max="9"/>
    <col width="12" customWidth="1" min="10" max="10"/>
  </cols>
  <sheetData>
    <row r="1" ht="35" customHeight="1">
      <c r="A1" s="4" t="inlineStr">
        <is>
          <t>Property Tax Validation -- Expected vs Reported Levy (Residential Class)</t>
        </is>
      </c>
    </row>
    <row r="2" ht="18" customHeight="1">
      <c r="A2" s="5" t="inlineStr">
        <is>
          <t>Expected Tax = CVA x Implied Rate  |  Variance = Reported - Expected  |  GREEN &lt; 5%  |  YELLOW 5-10%  |  RED &gt; 10%</t>
        </is>
      </c>
    </row>
    <row r="3" ht="30" customHeight="1">
      <c r="A3" s="6" t="inlineStr">
        <is>
          <t>Municipality</t>
        </is>
      </c>
      <c r="B3" s="6" t="inlineStr">
        <is>
          <t>Year</t>
        </is>
      </c>
      <c r="C3" s="6" t="inlineStr">
        <is>
          <t>Property Class</t>
        </is>
      </c>
      <c r="D3" s="6" t="inlineStr">
        <is>
          <t>CVA ($)</t>
        </is>
      </c>
      <c r="E3" s="6" t="inlineStr">
        <is>
          <t>Implied Rate (%)</t>
        </is>
      </c>
      <c r="F3" s="6" t="inlineStr">
        <is>
          <t>Expected Tax ($)</t>
        </is>
      </c>
      <c r="G3" s="6" t="inlineStr">
        <is>
          <t>Reported Tax ($)</t>
        </is>
      </c>
      <c r="H3" s="6" t="inlineStr">
        <is>
          <t>Variance ($)</t>
        </is>
      </c>
      <c r="I3" s="6" t="inlineStr">
        <is>
          <t>Variance (%)</t>
        </is>
      </c>
      <c r="J3" s="6" t="inlineStr">
        <is>
          <t>Flag</t>
        </is>
      </c>
    </row>
    <row r="4">
      <c r="A4" s="7" t="inlineStr">
        <is>
          <t>Brampton</t>
        </is>
      </c>
      <c r="B4" s="7" t="n">
        <v>2022</v>
      </c>
      <c r="C4" s="7" t="inlineStr">
        <is>
          <t>Residential</t>
        </is>
      </c>
      <c r="D4" s="8" t="n">
        <v>88785780048</v>
      </c>
      <c r="E4" s="9" t="n">
        <v>0.009808000000000001</v>
      </c>
      <c r="F4" s="8">
        <f>D4*E4</f>
        <v/>
      </c>
      <c r="G4" s="8" t="n">
        <v>870767450</v>
      </c>
      <c r="H4" s="8">
        <f>G4-F4</f>
        <v/>
      </c>
      <c r="I4" s="10">
        <f>IFERROR(H4/F4,0)</f>
        <v/>
      </c>
      <c r="J4" s="11" t="inlineStr">
        <is>
          <t>GREEN</t>
        </is>
      </c>
    </row>
    <row r="5">
      <c r="A5" s="12" t="inlineStr">
        <is>
          <t>Hamilton</t>
        </is>
      </c>
      <c r="B5" s="12" t="n">
        <v>2022</v>
      </c>
      <c r="C5" s="12" t="inlineStr">
        <is>
          <t>Residential</t>
        </is>
      </c>
      <c r="D5" s="13" t="n">
        <v>67973534428</v>
      </c>
      <c r="E5" s="14" t="n">
        <v>0.011752</v>
      </c>
      <c r="F5" s="13">
        <f>D5*E5</f>
        <v/>
      </c>
      <c r="G5" s="13" t="n">
        <v>798818482</v>
      </c>
      <c r="H5" s="13">
        <f>G5-F5</f>
        <v/>
      </c>
      <c r="I5" s="15">
        <f>IFERROR(H5/F5,0)</f>
        <v/>
      </c>
      <c r="J5" s="11" t="inlineStr">
        <is>
          <t>GREEN</t>
        </is>
      </c>
    </row>
    <row r="6">
      <c r="A6" s="7" t="inlineStr">
        <is>
          <t>Kitchener</t>
        </is>
      </c>
      <c r="B6" s="7" t="n">
        <v>2022</v>
      </c>
      <c r="C6" s="7" t="inlineStr">
        <is>
          <t>Residential</t>
        </is>
      </c>
      <c r="D6" s="8" t="n">
        <v>26205404766</v>
      </c>
      <c r="E6" s="9" t="n">
        <v>0.011411</v>
      </c>
      <c r="F6" s="8">
        <f>D6*E6</f>
        <v/>
      </c>
      <c r="G6" s="8" t="n">
        <v>299035639</v>
      </c>
      <c r="H6" s="8">
        <f>G6-F6</f>
        <v/>
      </c>
      <c r="I6" s="10">
        <f>IFERROR(H6/F6,0)</f>
        <v/>
      </c>
      <c r="J6" s="11" t="inlineStr">
        <is>
          <t>GREEN</t>
        </is>
      </c>
    </row>
    <row r="7">
      <c r="A7" s="12" t="inlineStr">
        <is>
          <t>London</t>
        </is>
      </c>
      <c r="B7" s="12" t="n">
        <v>2022</v>
      </c>
      <c r="C7" s="12" t="inlineStr">
        <is>
          <t>Residential</t>
        </is>
      </c>
      <c r="D7" s="13" t="n">
        <v>39083278681</v>
      </c>
      <c r="E7" s="14" t="n">
        <v>0.014222</v>
      </c>
      <c r="F7" s="13">
        <f>D7*E7</f>
        <v/>
      </c>
      <c r="G7" s="13" t="n">
        <v>555859260</v>
      </c>
      <c r="H7" s="13">
        <f>G7-F7</f>
        <v/>
      </c>
      <c r="I7" s="15">
        <f>IFERROR(H7/F7,0)</f>
        <v/>
      </c>
      <c r="J7" s="11" t="inlineStr">
        <is>
          <t>GREEN</t>
        </is>
      </c>
    </row>
    <row r="8">
      <c r="A8" s="7" t="inlineStr">
        <is>
          <t>Markham</t>
        </is>
      </c>
      <c r="B8" s="7" t="n">
        <v>2022</v>
      </c>
      <c r="C8" s="7" t="inlineStr">
        <is>
          <t>Residential</t>
        </is>
      </c>
      <c r="D8" s="8" t="n">
        <v>90374467475</v>
      </c>
      <c r="E8" s="9" t="n">
        <v>0.006449</v>
      </c>
      <c r="F8" s="8">
        <f>D8*E8</f>
        <v/>
      </c>
      <c r="G8" s="8" t="n">
        <v>582843045</v>
      </c>
      <c r="H8" s="8">
        <f>G8-F8</f>
        <v/>
      </c>
      <c r="I8" s="10">
        <f>IFERROR(H8/F8,0)</f>
        <v/>
      </c>
      <c r="J8" s="11" t="inlineStr">
        <is>
          <t>GREEN</t>
        </is>
      </c>
    </row>
    <row r="9">
      <c r="A9" s="12" t="inlineStr">
        <is>
          <t>Mississauga</t>
        </is>
      </c>
      <c r="B9" s="12" t="n">
        <v>2022</v>
      </c>
      <c r="C9" s="12" t="inlineStr">
        <is>
          <t>Residential</t>
        </is>
      </c>
      <c r="D9" s="13" t="n">
        <v>126314508251</v>
      </c>
      <c r="E9" s="14" t="n">
        <v>0.008297000000000001</v>
      </c>
      <c r="F9" s="13">
        <f>D9*E9</f>
        <v/>
      </c>
      <c r="G9" s="13" t="n">
        <v>1048079928</v>
      </c>
      <c r="H9" s="13">
        <f>G9-F9</f>
        <v/>
      </c>
      <c r="I9" s="15">
        <f>IFERROR(H9/F9,0)</f>
        <v/>
      </c>
      <c r="J9" s="11" t="inlineStr">
        <is>
          <t>GREEN</t>
        </is>
      </c>
    </row>
    <row r="10">
      <c r="A10" s="7" t="inlineStr">
        <is>
          <t>Ottawa</t>
        </is>
      </c>
      <c r="B10" s="7" t="n">
        <v>2022</v>
      </c>
      <c r="C10" s="7" t="inlineStr">
        <is>
          <t>Residential</t>
        </is>
      </c>
      <c r="D10" s="8" t="n">
        <v>134497727564</v>
      </c>
      <c r="E10" s="9" t="n">
        <v>0.011219</v>
      </c>
      <c r="F10" s="8">
        <f>D10*E10</f>
        <v/>
      </c>
      <c r="G10" s="8" t="n">
        <v>1508957248</v>
      </c>
      <c r="H10" s="8">
        <f>G10-F10</f>
        <v/>
      </c>
      <c r="I10" s="10">
        <f>IFERROR(H10/F10,0)</f>
        <v/>
      </c>
      <c r="J10" s="11" t="inlineStr">
        <is>
          <t>GREEN</t>
        </is>
      </c>
    </row>
    <row r="11">
      <c r="A11" s="12" t="inlineStr">
        <is>
          <t>Toronto</t>
        </is>
      </c>
      <c r="B11" s="12" t="n">
        <v>2022</v>
      </c>
      <c r="C11" s="12" t="inlineStr">
        <is>
          <t>Residential</t>
        </is>
      </c>
      <c r="D11" s="13" t="n">
        <v>573986513374</v>
      </c>
      <c r="E11" s="14" t="n">
        <v>0.006319</v>
      </c>
      <c r="F11" s="13">
        <f>D11*E11</f>
        <v/>
      </c>
      <c r="G11" s="13" t="n">
        <v>3627171674</v>
      </c>
      <c r="H11" s="13">
        <f>G11-F11</f>
        <v/>
      </c>
      <c r="I11" s="15">
        <f>IFERROR(H11/F11,0)</f>
        <v/>
      </c>
      <c r="J11" s="11" t="inlineStr">
        <is>
          <t>GREEN</t>
        </is>
      </c>
    </row>
    <row r="12">
      <c r="A12" s="7" t="inlineStr">
        <is>
          <t>Vaughan</t>
        </is>
      </c>
      <c r="B12" s="7" t="n">
        <v>2022</v>
      </c>
      <c r="C12" s="7" t="inlineStr">
        <is>
          <t>Residential</t>
        </is>
      </c>
      <c r="D12" s="8" t="n">
        <v>87893851267</v>
      </c>
      <c r="E12" s="9" t="n">
        <v>0.006828</v>
      </c>
      <c r="F12" s="8">
        <f>D12*E12</f>
        <v/>
      </c>
      <c r="G12" s="8" t="n">
        <v>600126031</v>
      </c>
      <c r="H12" s="8">
        <f>G12-F12</f>
        <v/>
      </c>
      <c r="I12" s="10">
        <f>IFERROR(H12/F12,0)</f>
        <v/>
      </c>
      <c r="J12" s="11" t="inlineStr">
        <is>
          <t>GREEN</t>
        </is>
      </c>
    </row>
    <row r="13">
      <c r="A13" s="12" t="inlineStr">
        <is>
          <t>Windsor</t>
        </is>
      </c>
      <c r="B13" s="12" t="n">
        <v>2022</v>
      </c>
      <c r="C13" s="12" t="inlineStr">
        <is>
          <t>Residential</t>
        </is>
      </c>
      <c r="D13" s="13" t="n">
        <v>13624679777</v>
      </c>
      <c r="E13" s="14" t="n">
        <v>0.018537</v>
      </c>
      <c r="F13" s="13">
        <f>D13*E13</f>
        <v/>
      </c>
      <c r="G13" s="13" t="n">
        <v>252560014</v>
      </c>
      <c r="H13" s="13">
        <f>G13-F13</f>
        <v/>
      </c>
      <c r="I13" s="15">
        <f>IFERROR(H13/F13,0)</f>
        <v/>
      </c>
      <c r="J13" s="11" t="inlineStr">
        <is>
          <t>GREEN</t>
        </is>
      </c>
    </row>
    <row r="14">
      <c r="A14" s="7" t="inlineStr">
        <is>
          <t>Brampton</t>
        </is>
      </c>
      <c r="B14" s="7" t="n">
        <v>2023</v>
      </c>
      <c r="C14" s="7" t="inlineStr">
        <is>
          <t>Residential</t>
        </is>
      </c>
      <c r="D14" s="8" t="n">
        <v>89566111448</v>
      </c>
      <c r="E14" s="9" t="n">
        <v>0.010393</v>
      </c>
      <c r="F14" s="8">
        <f>D14*E14</f>
        <v/>
      </c>
      <c r="G14" s="8" t="n">
        <v>930842249</v>
      </c>
      <c r="H14" s="8">
        <f>G14-F14</f>
        <v/>
      </c>
      <c r="I14" s="10">
        <f>IFERROR(H14/F14,0)</f>
        <v/>
      </c>
      <c r="J14" s="11" t="inlineStr">
        <is>
          <t>GREEN</t>
        </is>
      </c>
    </row>
    <row r="15">
      <c r="A15" s="12" t="inlineStr">
        <is>
          <t>Kitchener</t>
        </is>
      </c>
      <c r="B15" s="12" t="n">
        <v>2023</v>
      </c>
      <c r="C15" s="12" t="inlineStr">
        <is>
          <t>Residential</t>
        </is>
      </c>
      <c r="D15" s="13" t="n">
        <v>26781090771</v>
      </c>
      <c r="E15" s="14" t="n">
        <v>0.012121</v>
      </c>
      <c r="F15" s="13">
        <f>D15*E15</f>
        <v/>
      </c>
      <c r="G15" s="13" t="n">
        <v>324601283</v>
      </c>
      <c r="H15" s="13">
        <f>G15-F15</f>
        <v/>
      </c>
      <c r="I15" s="15">
        <f>IFERROR(H15/F15,0)</f>
        <v/>
      </c>
      <c r="J15" s="11" t="inlineStr">
        <is>
          <t>GREEN</t>
        </is>
      </c>
    </row>
    <row r="16">
      <c r="A16" s="7" t="inlineStr">
        <is>
          <t>London</t>
        </is>
      </c>
      <c r="B16" s="7" t="n">
        <v>2023</v>
      </c>
      <c r="C16" s="7" t="inlineStr">
        <is>
          <t>Residential</t>
        </is>
      </c>
      <c r="D16" s="8" t="n">
        <v>39817553906</v>
      </c>
      <c r="E16" s="9" t="n">
        <v>0.014611</v>
      </c>
      <c r="F16" s="8">
        <f>D16*E16</f>
        <v/>
      </c>
      <c r="G16" s="8" t="n">
        <v>581777669</v>
      </c>
      <c r="H16" s="8">
        <f>G16-F16</f>
        <v/>
      </c>
      <c r="I16" s="10">
        <f>IFERROR(H16/F16,0)</f>
        <v/>
      </c>
      <c r="J16" s="11" t="inlineStr">
        <is>
          <t>GREEN</t>
        </is>
      </c>
    </row>
    <row r="17">
      <c r="A17" s="12" t="inlineStr">
        <is>
          <t>Markham</t>
        </is>
      </c>
      <c r="B17" s="12" t="n">
        <v>2023</v>
      </c>
      <c r="C17" s="12" t="inlineStr">
        <is>
          <t>Residential</t>
        </is>
      </c>
      <c r="D17" s="13" t="n">
        <v>91683084609</v>
      </c>
      <c r="E17" s="14" t="n">
        <v>0.006626</v>
      </c>
      <c r="F17" s="13">
        <f>D17*E17</f>
        <v/>
      </c>
      <c r="G17" s="13" t="n">
        <v>607501099</v>
      </c>
      <c r="H17" s="13">
        <f>G17-F17</f>
        <v/>
      </c>
      <c r="I17" s="15">
        <f>IFERROR(H17/F17,0)</f>
        <v/>
      </c>
      <c r="J17" s="11" t="inlineStr">
        <is>
          <t>GREEN</t>
        </is>
      </c>
    </row>
    <row r="18">
      <c r="A18" s="7" t="inlineStr">
        <is>
          <t>Mississauga</t>
        </is>
      </c>
      <c r="B18" s="7" t="n">
        <v>2023</v>
      </c>
      <c r="C18" s="7" t="inlineStr">
        <is>
          <t>Residential</t>
        </is>
      </c>
      <c r="D18" s="8" t="n">
        <v>127355982585</v>
      </c>
      <c r="E18" s="9" t="n">
        <v>0.008815</v>
      </c>
      <c r="F18" s="8">
        <f>D18*E18</f>
        <v/>
      </c>
      <c r="G18" s="8" t="n">
        <v>1122682944</v>
      </c>
      <c r="H18" s="8">
        <f>G18-F18</f>
        <v/>
      </c>
      <c r="I18" s="10">
        <f>IFERROR(H18/F18,0)</f>
        <v/>
      </c>
      <c r="J18" s="11" t="inlineStr">
        <is>
          <t>GREEN</t>
        </is>
      </c>
    </row>
    <row r="19">
      <c r="A19" s="12" t="inlineStr">
        <is>
          <t>Ottawa</t>
        </is>
      </c>
      <c r="B19" s="12" t="n">
        <v>2023</v>
      </c>
      <c r="C19" s="12" t="inlineStr">
        <is>
          <t>Residential</t>
        </is>
      </c>
      <c r="D19" s="13" t="n">
        <v>137834283073</v>
      </c>
      <c r="E19" s="14" t="n">
        <v>0.011458</v>
      </c>
      <c r="F19" s="13">
        <f>D19*E19</f>
        <v/>
      </c>
      <c r="G19" s="13" t="n">
        <v>1579310471</v>
      </c>
      <c r="H19" s="13">
        <f>G19-F19</f>
        <v/>
      </c>
      <c r="I19" s="15">
        <f>IFERROR(H19/F19,0)</f>
        <v/>
      </c>
      <c r="J19" s="11" t="inlineStr">
        <is>
          <t>GREEN</t>
        </is>
      </c>
    </row>
    <row r="20">
      <c r="A20" s="7" t="inlineStr">
        <is>
          <t>Toronto</t>
        </is>
      </c>
      <c r="B20" s="7" t="n">
        <v>2023</v>
      </c>
      <c r="C20" s="7" t="inlineStr">
        <is>
          <t>Residential</t>
        </is>
      </c>
      <c r="D20" s="8" t="n">
        <v>581883224788</v>
      </c>
      <c r="E20" s="9" t="n">
        <v>0.006663</v>
      </c>
      <c r="F20" s="8">
        <f>D20*E20</f>
        <v/>
      </c>
      <c r="G20" s="8" t="n">
        <v>3876895354</v>
      </c>
      <c r="H20" s="8">
        <f>G20-F20</f>
        <v/>
      </c>
      <c r="I20" s="10">
        <f>IFERROR(H20/F20,0)</f>
        <v/>
      </c>
      <c r="J20" s="11" t="inlineStr">
        <is>
          <t>GREEN</t>
        </is>
      </c>
    </row>
    <row r="21">
      <c r="A21" s="12" t="inlineStr">
        <is>
          <t>Vaughan</t>
        </is>
      </c>
      <c r="B21" s="12" t="n">
        <v>2023</v>
      </c>
      <c r="C21" s="12" t="inlineStr">
        <is>
          <t>Residential</t>
        </is>
      </c>
      <c r="D21" s="13" t="n">
        <v>88991563917</v>
      </c>
      <c r="E21" s="14" t="n">
        <v>0.006951</v>
      </c>
      <c r="F21" s="13">
        <f>D21*E21</f>
        <v/>
      </c>
      <c r="G21" s="13" t="n">
        <v>618574133</v>
      </c>
      <c r="H21" s="13">
        <f>G21-F21</f>
        <v/>
      </c>
      <c r="I21" s="15">
        <f>IFERROR(H21/F21,0)</f>
        <v/>
      </c>
      <c r="J21" s="11" t="inlineStr">
        <is>
          <t>GREEN</t>
        </is>
      </c>
    </row>
    <row r="22">
      <c r="A22" s="7" t="inlineStr">
        <is>
          <t>Windsor</t>
        </is>
      </c>
      <c r="B22" s="7" t="n">
        <v>2023</v>
      </c>
      <c r="C22" s="7" t="inlineStr">
        <is>
          <t>Residential</t>
        </is>
      </c>
      <c r="D22" s="8" t="n">
        <v>13749989839</v>
      </c>
      <c r="E22" s="9" t="n">
        <v>0.019396</v>
      </c>
      <c r="F22" s="8">
        <f>D22*E22</f>
        <v/>
      </c>
      <c r="G22" s="8" t="n">
        <v>266695614</v>
      </c>
      <c r="H22" s="8">
        <f>G22-F22</f>
        <v/>
      </c>
      <c r="I22" s="10">
        <f>IFERROR(H22/F22,0)</f>
        <v/>
      </c>
      <c r="J22" s="11" t="inlineStr">
        <is>
          <t>GREEN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16" customWidth="1" min="5" max="5"/>
    <col width="14" customWidth="1" min="6" max="6"/>
    <col width="16" customWidth="1" min="7" max="7"/>
    <col width="12" customWidth="1" min="8" max="8"/>
  </cols>
  <sheetData>
    <row r="1" ht="35" customHeight="1">
      <c r="A1" s="4" t="inlineStr">
        <is>
          <t>Year over Year Levy Comparison -- 2022 vs 2023 (All Property Classes)</t>
        </is>
      </c>
    </row>
    <row r="2">
      <c r="A2" s="5" t="inlineStr">
        <is>
          <t>Flag: GREEN &lt; 10%  |  YELLOW 10-20%  |  RED &gt; 20%  |  MISSING = no 2023 submission</t>
        </is>
      </c>
    </row>
    <row r="3" ht="30" customHeight="1">
      <c r="A3" s="6" t="inlineStr">
        <is>
          <t>Municipality</t>
        </is>
      </c>
      <c r="B3" s="6" t="inlineStr">
        <is>
          <t>Property Class</t>
        </is>
      </c>
      <c r="C3" s="6" t="inlineStr">
        <is>
          <t>Levy 2022 ($M)</t>
        </is>
      </c>
      <c r="D3" s="6" t="inlineStr">
        <is>
          <t>Levy 2023 ($M)</t>
        </is>
      </c>
      <c r="E3" s="6" t="inlineStr">
        <is>
          <t>Change ($M)</t>
        </is>
      </c>
      <c r="F3" s="6" t="inlineStr">
        <is>
          <t>Change (%)</t>
        </is>
      </c>
      <c r="G3" s="6" t="inlineStr">
        <is>
          <t>CVA Change (%)</t>
        </is>
      </c>
      <c r="H3" s="6" t="inlineStr">
        <is>
          <t>Flag</t>
        </is>
      </c>
    </row>
    <row r="4">
      <c r="A4" s="7" t="inlineStr">
        <is>
          <t>Hamilton</t>
        </is>
      </c>
      <c r="B4" s="7" t="inlineStr">
        <is>
          <t>Residential</t>
        </is>
      </c>
      <c r="C4" s="16" t="n">
        <v>798.8200000000001</v>
      </c>
      <c r="D4" s="17" t="inlineStr">
        <is>
          <t>MISSING</t>
        </is>
      </c>
      <c r="E4" s="16">
        <f>IFERROR(D4-C4,"-")</f>
        <v/>
      </c>
      <c r="F4" s="17" t="n"/>
      <c r="G4" s="17" t="n"/>
      <c r="H4" s="18" t="inlineStr">
        <is>
          <t>MISSING</t>
        </is>
      </c>
    </row>
    <row r="5">
      <c r="A5" s="12" t="inlineStr">
        <is>
          <t>Kitchener</t>
        </is>
      </c>
      <c r="B5" s="12" t="inlineStr">
        <is>
          <t>Residential</t>
        </is>
      </c>
      <c r="C5" s="19" t="n">
        <v>299.04</v>
      </c>
      <c r="D5" s="19" t="n">
        <v>324.6</v>
      </c>
      <c r="E5" s="19">
        <f>IFERROR(D5-C5,"-")</f>
        <v/>
      </c>
      <c r="F5" s="15" t="n">
        <v>0.08550000000000001</v>
      </c>
      <c r="G5" s="15" t="n">
        <v>0.022</v>
      </c>
      <c r="H5" s="11" t="inlineStr">
        <is>
          <t>GREEN</t>
        </is>
      </c>
    </row>
    <row r="6">
      <c r="A6" s="7" t="inlineStr">
        <is>
          <t>Mississauga</t>
        </is>
      </c>
      <c r="B6" s="7" t="inlineStr">
        <is>
          <t>Residential</t>
        </is>
      </c>
      <c r="C6" s="16" t="n">
        <v>1048.08</v>
      </c>
      <c r="D6" s="16" t="n">
        <v>1122.68</v>
      </c>
      <c r="E6" s="16">
        <f>IFERROR(D6-C6,"-")</f>
        <v/>
      </c>
      <c r="F6" s="10" t="n">
        <v>0.0712</v>
      </c>
      <c r="G6" s="10" t="n">
        <v>0.008200000000000001</v>
      </c>
      <c r="H6" s="11" t="inlineStr">
        <is>
          <t>GREEN</t>
        </is>
      </c>
    </row>
    <row r="7">
      <c r="A7" s="12" t="inlineStr">
        <is>
          <t>Brampton</t>
        </is>
      </c>
      <c r="B7" s="12" t="inlineStr">
        <is>
          <t>Residential</t>
        </is>
      </c>
      <c r="C7" s="19" t="n">
        <v>870.77</v>
      </c>
      <c r="D7" s="19" t="n">
        <v>930.84</v>
      </c>
      <c r="E7" s="19">
        <f>IFERROR(D7-C7,"-")</f>
        <v/>
      </c>
      <c r="F7" s="15" t="n">
        <v>0.06900000000000001</v>
      </c>
      <c r="G7" s="15" t="n">
        <v>0.008800000000000001</v>
      </c>
      <c r="H7" s="11" t="inlineStr">
        <is>
          <t>GREEN</t>
        </is>
      </c>
    </row>
    <row r="8">
      <c r="A8" s="7" t="inlineStr">
        <is>
          <t>Toronto</t>
        </is>
      </c>
      <c r="B8" s="7" t="inlineStr">
        <is>
          <t>Residential</t>
        </is>
      </c>
      <c r="C8" s="16" t="n">
        <v>3627.17</v>
      </c>
      <c r="D8" s="16" t="n">
        <v>3876.9</v>
      </c>
      <c r="E8" s="16">
        <f>IFERROR(D8-C8,"-")</f>
        <v/>
      </c>
      <c r="F8" s="10" t="n">
        <v>0.0688</v>
      </c>
      <c r="G8" s="10" t="n">
        <v>0.0138</v>
      </c>
      <c r="H8" s="11" t="inlineStr">
        <is>
          <t>GREEN</t>
        </is>
      </c>
    </row>
    <row r="9">
      <c r="A9" s="12" t="inlineStr">
        <is>
          <t>Windsor</t>
        </is>
      </c>
      <c r="B9" s="12" t="inlineStr">
        <is>
          <t>Residential</t>
        </is>
      </c>
      <c r="C9" s="19" t="n">
        <v>252.56</v>
      </c>
      <c r="D9" s="19" t="n">
        <v>266.7</v>
      </c>
      <c r="E9" s="19">
        <f>IFERROR(D9-C9,"-")</f>
        <v/>
      </c>
      <c r="F9" s="15" t="n">
        <v>0.056</v>
      </c>
      <c r="G9" s="15" t="n">
        <v>0.0092</v>
      </c>
      <c r="H9" s="11" t="inlineStr">
        <is>
          <t>GREEN</t>
        </is>
      </c>
    </row>
    <row r="10">
      <c r="A10" s="7" t="inlineStr">
        <is>
          <t>Ottawa</t>
        </is>
      </c>
      <c r="B10" s="7" t="inlineStr">
        <is>
          <t>Residential</t>
        </is>
      </c>
      <c r="C10" s="16" t="n">
        <v>1508.96</v>
      </c>
      <c r="D10" s="16" t="n">
        <v>1579.31</v>
      </c>
      <c r="E10" s="16">
        <f>IFERROR(D10-C10,"-")</f>
        <v/>
      </c>
      <c r="F10" s="10" t="n">
        <v>0.0466</v>
      </c>
      <c r="G10" s="10" t="n">
        <v>0.0248</v>
      </c>
      <c r="H10" s="11" t="inlineStr">
        <is>
          <t>GREEN</t>
        </is>
      </c>
    </row>
    <row r="11">
      <c r="A11" s="12" t="inlineStr">
        <is>
          <t>London</t>
        </is>
      </c>
      <c r="B11" s="12" t="inlineStr">
        <is>
          <t>Residential</t>
        </is>
      </c>
      <c r="C11" s="19" t="n">
        <v>555.86</v>
      </c>
      <c r="D11" s="19" t="n">
        <v>581.78</v>
      </c>
      <c r="E11" s="19">
        <f>IFERROR(D11-C11,"-")</f>
        <v/>
      </c>
      <c r="F11" s="15" t="n">
        <v>0.0466</v>
      </c>
      <c r="G11" s="15" t="n">
        <v>0.0188</v>
      </c>
      <c r="H11" s="11" t="inlineStr">
        <is>
          <t>GREEN</t>
        </is>
      </c>
    </row>
    <row r="12">
      <c r="A12" s="7" t="inlineStr">
        <is>
          <t>Markham</t>
        </is>
      </c>
      <c r="B12" s="7" t="inlineStr">
        <is>
          <t>Residential</t>
        </is>
      </c>
      <c r="C12" s="16" t="n">
        <v>582.84</v>
      </c>
      <c r="D12" s="16" t="n">
        <v>607.5</v>
      </c>
      <c r="E12" s="16">
        <f>IFERROR(D12-C12,"-")</f>
        <v/>
      </c>
      <c r="F12" s="10" t="n">
        <v>0.0423</v>
      </c>
      <c r="G12" s="10" t="n">
        <v>0.0145</v>
      </c>
      <c r="H12" s="11" t="inlineStr">
        <is>
          <t>GREEN</t>
        </is>
      </c>
    </row>
    <row r="13">
      <c r="A13" s="12" t="inlineStr">
        <is>
          <t>Vaughan</t>
        </is>
      </c>
      <c r="B13" s="12" t="inlineStr">
        <is>
          <t>Residential</t>
        </is>
      </c>
      <c r="C13" s="19" t="n">
        <v>600.13</v>
      </c>
      <c r="D13" s="19" t="n">
        <v>618.5700000000001</v>
      </c>
      <c r="E13" s="19">
        <f>IFERROR(D13-C13,"-")</f>
        <v/>
      </c>
      <c r="F13" s="15" t="n">
        <v>0.0307</v>
      </c>
      <c r="G13" s="15" t="n">
        <v>0.0125</v>
      </c>
      <c r="H13" s="11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20" customWidth="1" min="4" max="4"/>
    <col width="22" customWidth="1" min="5" max="5"/>
    <col width="14" customWidth="1" min="6" max="6"/>
    <col width="12" customWidth="1" min="7" max="7"/>
  </cols>
  <sheetData>
    <row r="1" ht="35" customHeight="1">
      <c r="A1" s="4" t="inlineStr">
        <is>
          <t>Municipality Data Quality Scorecard</t>
        </is>
      </c>
    </row>
    <row r="2">
      <c r="A2" s="5" t="inlineStr">
        <is>
          <t>Submission (40pts) + Data Quality (40pts) + YoY Stability (20pts) = 100pts  |  GREEN &gt;= 80  |  YELLOW &gt;= 50  |  RED &lt; 50</t>
        </is>
      </c>
    </row>
    <row r="3" ht="30" customHeight="1">
      <c r="A3" s="6" t="inlineStr">
        <is>
          <t>Municipality</t>
        </is>
      </c>
      <c r="B3" s="6" t="inlineStr">
        <is>
          <t>Year</t>
        </is>
      </c>
      <c r="C3" s="6" t="inlineStr">
        <is>
          <t>Submission (40)</t>
        </is>
      </c>
      <c r="D3" s="6" t="inlineStr">
        <is>
          <t>Data Quality (40)</t>
        </is>
      </c>
      <c r="E3" s="6" t="inlineStr">
        <is>
          <t>YoY Stability (20)</t>
        </is>
      </c>
      <c r="F3" s="6" t="inlineStr">
        <is>
          <t>Total Score</t>
        </is>
      </c>
      <c r="G3" s="6" t="inlineStr">
        <is>
          <t>Flag</t>
        </is>
      </c>
    </row>
    <row r="4">
      <c r="A4" s="7" t="inlineStr">
        <is>
          <t>Toronto</t>
        </is>
      </c>
      <c r="B4" s="20" t="n">
        <v>2022</v>
      </c>
      <c r="C4" s="20" t="n">
        <v>40</v>
      </c>
      <c r="D4" s="20" t="n">
        <v>40</v>
      </c>
      <c r="E4" s="20" t="n">
        <v>20</v>
      </c>
      <c r="F4" s="21">
        <f>C4+D4+E4</f>
        <v/>
      </c>
      <c r="G4" s="22" t="inlineStr">
        <is>
          <t>GREEN</t>
        </is>
      </c>
    </row>
    <row r="5">
      <c r="A5" s="12" t="inlineStr">
        <is>
          <t>Mississauga</t>
        </is>
      </c>
      <c r="B5" s="23" t="n">
        <v>2022</v>
      </c>
      <c r="C5" s="23" t="n">
        <v>40</v>
      </c>
      <c r="D5" s="23" t="n">
        <v>40</v>
      </c>
      <c r="E5" s="23" t="n">
        <v>20</v>
      </c>
      <c r="F5" s="21">
        <f>C5+D5+E5</f>
        <v/>
      </c>
      <c r="G5" s="22" t="inlineStr">
        <is>
          <t>GREEN</t>
        </is>
      </c>
    </row>
    <row r="6">
      <c r="A6" s="7" t="inlineStr">
        <is>
          <t>Ottawa</t>
        </is>
      </c>
      <c r="B6" s="20" t="n">
        <v>2022</v>
      </c>
      <c r="C6" s="20" t="n">
        <v>40</v>
      </c>
      <c r="D6" s="20" t="n">
        <v>40</v>
      </c>
      <c r="E6" s="20" t="n">
        <v>20</v>
      </c>
      <c r="F6" s="21">
        <f>C6+D6+E6</f>
        <v/>
      </c>
      <c r="G6" s="22" t="inlineStr">
        <is>
          <t>GREEN</t>
        </is>
      </c>
    </row>
    <row r="7">
      <c r="A7" s="12" t="inlineStr">
        <is>
          <t>Vaughan</t>
        </is>
      </c>
      <c r="B7" s="23" t="n">
        <v>2022</v>
      </c>
      <c r="C7" s="23" t="n">
        <v>40</v>
      </c>
      <c r="D7" s="23" t="n">
        <v>40</v>
      </c>
      <c r="E7" s="23" t="n">
        <v>20</v>
      </c>
      <c r="F7" s="21">
        <f>C7+D7+E7</f>
        <v/>
      </c>
      <c r="G7" s="22" t="inlineStr">
        <is>
          <t>GREEN</t>
        </is>
      </c>
    </row>
    <row r="8">
      <c r="A8" s="7" t="inlineStr">
        <is>
          <t>Brampton</t>
        </is>
      </c>
      <c r="B8" s="20" t="n">
        <v>2022</v>
      </c>
      <c r="C8" s="20" t="n">
        <v>40</v>
      </c>
      <c r="D8" s="20" t="n">
        <v>40</v>
      </c>
      <c r="E8" s="20" t="n">
        <v>20</v>
      </c>
      <c r="F8" s="21">
        <f>C8+D8+E8</f>
        <v/>
      </c>
      <c r="G8" s="22" t="inlineStr">
        <is>
          <t>GREEN</t>
        </is>
      </c>
    </row>
    <row r="9">
      <c r="A9" s="12" t="inlineStr">
        <is>
          <t>Kitchener</t>
        </is>
      </c>
      <c r="B9" s="23" t="n">
        <v>2022</v>
      </c>
      <c r="C9" s="23" t="n">
        <v>40</v>
      </c>
      <c r="D9" s="23" t="n">
        <v>40</v>
      </c>
      <c r="E9" s="23" t="n">
        <v>20</v>
      </c>
      <c r="F9" s="21">
        <f>C9+D9+E9</f>
        <v/>
      </c>
      <c r="G9" s="22" t="inlineStr">
        <is>
          <t>GREEN</t>
        </is>
      </c>
    </row>
    <row r="10">
      <c r="A10" s="7" t="inlineStr">
        <is>
          <t>Windsor</t>
        </is>
      </c>
      <c r="B10" s="20" t="n">
        <v>2022</v>
      </c>
      <c r="C10" s="20" t="n">
        <v>40</v>
      </c>
      <c r="D10" s="20" t="n">
        <v>40</v>
      </c>
      <c r="E10" s="20" t="n">
        <v>20</v>
      </c>
      <c r="F10" s="21">
        <f>C10+D10+E10</f>
        <v/>
      </c>
      <c r="G10" s="22" t="inlineStr">
        <is>
          <t>GREEN</t>
        </is>
      </c>
    </row>
    <row r="11">
      <c r="A11" s="12" t="inlineStr">
        <is>
          <t>London</t>
        </is>
      </c>
      <c r="B11" s="23" t="n">
        <v>2022</v>
      </c>
      <c r="C11" s="23" t="n">
        <v>40</v>
      </c>
      <c r="D11" s="23" t="n">
        <v>40</v>
      </c>
      <c r="E11" s="23" t="n">
        <v>20</v>
      </c>
      <c r="F11" s="21">
        <f>C11+D11+E11</f>
        <v/>
      </c>
      <c r="G11" s="22" t="inlineStr">
        <is>
          <t>GREEN</t>
        </is>
      </c>
    </row>
    <row r="12">
      <c r="A12" s="7" t="inlineStr">
        <is>
          <t>Markham</t>
        </is>
      </c>
      <c r="B12" s="20" t="n">
        <v>2022</v>
      </c>
      <c r="C12" s="20" t="n">
        <v>40</v>
      </c>
      <c r="D12" s="20" t="n">
        <v>40</v>
      </c>
      <c r="E12" s="20" t="n">
        <v>20</v>
      </c>
      <c r="F12" s="21">
        <f>C12+D12+E12</f>
        <v/>
      </c>
      <c r="G12" s="22" t="inlineStr">
        <is>
          <t>GREEN</t>
        </is>
      </c>
    </row>
    <row r="13">
      <c r="A13" s="12" t="inlineStr">
        <is>
          <t>Hamilton</t>
        </is>
      </c>
      <c r="B13" s="23" t="n">
        <v>2022</v>
      </c>
      <c r="C13" s="23" t="n">
        <v>40</v>
      </c>
      <c r="D13" s="23" t="n">
        <v>40</v>
      </c>
      <c r="E13" s="23" t="n">
        <v>20</v>
      </c>
      <c r="F13" s="21">
        <f>C13+D13+E13</f>
        <v/>
      </c>
      <c r="G13" s="22" t="inlineStr">
        <is>
          <t>GREEN</t>
        </is>
      </c>
    </row>
    <row r="14">
      <c r="A14" s="7" t="inlineStr">
        <is>
          <t>Toronto</t>
        </is>
      </c>
      <c r="B14" s="20" t="n">
        <v>2023</v>
      </c>
      <c r="C14" s="20" t="n">
        <v>40</v>
      </c>
      <c r="D14" s="20" t="n">
        <v>40</v>
      </c>
      <c r="E14" s="20" t="n">
        <v>10</v>
      </c>
      <c r="F14" s="21">
        <f>C14+D14+E14</f>
        <v/>
      </c>
      <c r="G14" s="22" t="inlineStr">
        <is>
          <t>GREEN</t>
        </is>
      </c>
    </row>
    <row r="15">
      <c r="A15" s="12" t="inlineStr">
        <is>
          <t>Mississauga</t>
        </is>
      </c>
      <c r="B15" s="23" t="n">
        <v>2023</v>
      </c>
      <c r="C15" s="23" t="n">
        <v>40</v>
      </c>
      <c r="D15" s="23" t="n">
        <v>40</v>
      </c>
      <c r="E15" s="23" t="n">
        <v>0</v>
      </c>
      <c r="F15" s="21">
        <f>C15+D15+E15</f>
        <v/>
      </c>
      <c r="G15" s="22" t="inlineStr">
        <is>
          <t>GREEN</t>
        </is>
      </c>
    </row>
    <row r="16">
      <c r="A16" s="7" t="inlineStr">
        <is>
          <t>Ottawa</t>
        </is>
      </c>
      <c r="B16" s="20" t="n">
        <v>2023</v>
      </c>
      <c r="C16" s="20" t="n">
        <v>40</v>
      </c>
      <c r="D16" s="20" t="n">
        <v>40</v>
      </c>
      <c r="E16" s="20" t="n">
        <v>0</v>
      </c>
      <c r="F16" s="21">
        <f>C16+D16+E16</f>
        <v/>
      </c>
      <c r="G16" s="22" t="inlineStr">
        <is>
          <t>GREEN</t>
        </is>
      </c>
    </row>
    <row r="17">
      <c r="A17" s="12" t="inlineStr">
        <is>
          <t>Vaughan</t>
        </is>
      </c>
      <c r="B17" s="23" t="n">
        <v>2023</v>
      </c>
      <c r="C17" s="23" t="n">
        <v>40</v>
      </c>
      <c r="D17" s="23" t="n">
        <v>40</v>
      </c>
      <c r="E17" s="23" t="n">
        <v>0</v>
      </c>
      <c r="F17" s="21">
        <f>C17+D17+E17</f>
        <v/>
      </c>
      <c r="G17" s="22" t="inlineStr">
        <is>
          <t>GREEN</t>
        </is>
      </c>
    </row>
    <row r="18">
      <c r="A18" s="7" t="inlineStr">
        <is>
          <t>Brampton</t>
        </is>
      </c>
      <c r="B18" s="20" t="n">
        <v>2023</v>
      </c>
      <c r="C18" s="20" t="n">
        <v>40</v>
      </c>
      <c r="D18" s="20" t="n">
        <v>40</v>
      </c>
      <c r="E18" s="20" t="n">
        <v>0</v>
      </c>
      <c r="F18" s="21">
        <f>C18+D18+E18</f>
        <v/>
      </c>
      <c r="G18" s="22" t="inlineStr">
        <is>
          <t>GREEN</t>
        </is>
      </c>
    </row>
    <row r="19">
      <c r="A19" s="12" t="inlineStr">
        <is>
          <t>Kitchener</t>
        </is>
      </c>
      <c r="B19" s="23" t="n">
        <v>2023</v>
      </c>
      <c r="C19" s="23" t="n">
        <v>40</v>
      </c>
      <c r="D19" s="23" t="n">
        <v>40</v>
      </c>
      <c r="E19" s="23" t="n">
        <v>0</v>
      </c>
      <c r="F19" s="21">
        <f>C19+D19+E19</f>
        <v/>
      </c>
      <c r="G19" s="22" t="inlineStr">
        <is>
          <t>GREEN</t>
        </is>
      </c>
    </row>
    <row r="20">
      <c r="A20" s="7" t="inlineStr">
        <is>
          <t>Windsor</t>
        </is>
      </c>
      <c r="B20" s="20" t="n">
        <v>2023</v>
      </c>
      <c r="C20" s="20" t="n">
        <v>40</v>
      </c>
      <c r="D20" s="20" t="n">
        <v>40</v>
      </c>
      <c r="E20" s="20" t="n">
        <v>0</v>
      </c>
      <c r="F20" s="21">
        <f>C20+D20+E20</f>
        <v/>
      </c>
      <c r="G20" s="22" t="inlineStr">
        <is>
          <t>GREEN</t>
        </is>
      </c>
    </row>
    <row r="21">
      <c r="A21" s="12" t="inlineStr">
        <is>
          <t>London</t>
        </is>
      </c>
      <c r="B21" s="23" t="n">
        <v>2023</v>
      </c>
      <c r="C21" s="23" t="n">
        <v>40</v>
      </c>
      <c r="D21" s="23" t="n">
        <v>40</v>
      </c>
      <c r="E21" s="23" t="n">
        <v>0</v>
      </c>
      <c r="F21" s="21">
        <f>C21+D21+E21</f>
        <v/>
      </c>
      <c r="G21" s="22" t="inlineStr">
        <is>
          <t>GREEN</t>
        </is>
      </c>
    </row>
    <row r="22">
      <c r="A22" s="7" t="inlineStr">
        <is>
          <t>Markham</t>
        </is>
      </c>
      <c r="B22" s="20" t="n">
        <v>2023</v>
      </c>
      <c r="C22" s="20" t="n">
        <v>40</v>
      </c>
      <c r="D22" s="20" t="n">
        <v>40</v>
      </c>
      <c r="E22" s="20" t="n">
        <v>0</v>
      </c>
      <c r="F22" s="21">
        <f>C22+D22+E22</f>
        <v/>
      </c>
      <c r="G22" s="22" t="inlineStr">
        <is>
          <t>GREEN</t>
        </is>
      </c>
    </row>
    <row r="23">
      <c r="A23" s="12" t="inlineStr">
        <is>
          <t>Hamilton</t>
        </is>
      </c>
      <c r="B23" s="23" t="n">
        <v>2023</v>
      </c>
      <c r="C23" s="23" t="n">
        <v>0</v>
      </c>
      <c r="D23" s="23" t="n">
        <v>0</v>
      </c>
      <c r="E23" s="23" t="n">
        <v>20</v>
      </c>
      <c r="F23" s="21">
        <f>C23+D23+E23</f>
        <v/>
      </c>
      <c r="G23" s="24" t="inlineStr">
        <is>
          <t>RED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5" customWidth="1" min="3" max="3"/>
    <col width="65" customWidth="1" min="4" max="4"/>
    <col width="12" customWidth="1" min="5" max="5"/>
    <col width="12" customWidth="1" min="6" max="6"/>
  </cols>
  <sheetData>
    <row r="1" ht="35" customHeight="1">
      <c r="A1" s="4" t="inlineStr">
        <is>
          <t>Data Quality Anomalies -- Action Required</t>
        </is>
      </c>
    </row>
    <row r="2" ht="30" customHeight="1">
      <c r="A2" s="6" t="inlineStr">
        <is>
          <t>Municipality</t>
        </is>
      </c>
      <c r="B2" s="6" t="inlineStr">
        <is>
          <t>Year</t>
        </is>
      </c>
      <c r="C2" s="6" t="inlineStr">
        <is>
          <t>Anomaly Type</t>
        </is>
      </c>
      <c r="D2" s="6" t="inlineStr">
        <is>
          <t>Description</t>
        </is>
      </c>
      <c r="E2" s="6" t="inlineStr">
        <is>
          <t>Severity</t>
        </is>
      </c>
      <c r="F2" s="6" t="inlineStr">
        <is>
          <t>Status</t>
        </is>
      </c>
    </row>
    <row r="3" ht="50" customHeight="1">
      <c r="A3" s="12" t="inlineStr">
        <is>
          <t>Hamilton</t>
        </is>
      </c>
      <c r="B3" s="23" t="n">
        <v>2023</v>
      </c>
      <c r="C3" s="23" t="inlineStr">
        <is>
          <t>MISSING_SUBMISSION</t>
        </is>
      </c>
      <c r="D3" s="25" t="inlineStr">
        <is>
          <t>Hamilton did not submit FIR for 2023 by the May 31 2024 deadline. Last submitted in 2022 with a total levy of $1,208,923,947.</t>
        </is>
      </c>
      <c r="E3" s="24" t="inlineStr">
        <is>
          <t>CRITICAL</t>
        </is>
      </c>
      <c r="F3" s="23" t="inlineStr">
        <is>
          <t>OPEN</t>
        </is>
      </c>
    </row>
    <row r="4" ht="50" customHeight="1">
      <c r="A4" s="12" t="inlineStr">
        <is>
          <t>Markham</t>
        </is>
      </c>
      <c r="B4" s="23" t="n">
        <v>2023</v>
      </c>
      <c r="C4" s="23" t="inlineStr">
        <is>
          <t>HIGH_YOY_CHANGE</t>
        </is>
      </c>
      <c r="D4" s="25" t="inlineStr">
        <is>
          <t>Markham Large Industrial levy increased 90.1% year over year from $834,702 in 2022 to $1,586,795 in 2023. Requires verification.</t>
        </is>
      </c>
      <c r="E4" s="24" t="inlineStr">
        <is>
          <t>HIGH</t>
        </is>
      </c>
      <c r="F4" s="23" t="inlineStr">
        <is>
          <t>OPEN</t>
        </is>
      </c>
    </row>
    <row r="5" ht="50" customHeight="1">
      <c r="A5" s="12" t="inlineStr">
        <is>
          <t>London</t>
        </is>
      </c>
      <c r="B5" s="23" t="n">
        <v>2023</v>
      </c>
      <c r="C5" s="23" t="inlineStr">
        <is>
          <t>HIGH_YOY_CHANGE</t>
        </is>
      </c>
      <c r="D5" s="25" t="inlineStr">
        <is>
          <t>London Large Industrial levy increased 48.5% year over year. Multiple property classes showing RED flags.</t>
        </is>
      </c>
      <c r="E5" s="24" t="inlineStr">
        <is>
          <t>HIGH</t>
        </is>
      </c>
      <c r="F5" s="23" t="inlineStr">
        <is>
          <t>OPEN</t>
        </is>
      </c>
    </row>
    <row r="6" ht="50" customHeight="1">
      <c r="A6" s="12" t="inlineStr">
        <is>
          <t>Mississauga</t>
        </is>
      </c>
      <c r="B6" s="23" t="n">
        <v>2023</v>
      </c>
      <c r="C6" s="23" t="inlineStr">
        <is>
          <t>NEGATIVE_YOY_CHANGE</t>
        </is>
      </c>
      <c r="D6" s="25" t="inlineStr">
        <is>
          <t>Mississauga Managed Forest levy decreased 20.8% year over year. Possible property class reclassification.</t>
        </is>
      </c>
      <c r="E6" s="24" t="inlineStr">
        <is>
          <t>MEDIUM</t>
        </is>
      </c>
      <c r="F6" s="23" t="inlineStr">
        <is>
          <t>OPEN</t>
        </is>
      </c>
    </row>
    <row r="7" ht="50" customHeight="1">
      <c r="A7" s="12" t="inlineStr">
        <is>
          <t>Windsor</t>
        </is>
      </c>
      <c r="B7" s="23" t="n">
        <v>2023</v>
      </c>
      <c r="C7" s="23" t="inlineStr">
        <is>
          <t>HIGH_RESIDENTIAL_RATE</t>
        </is>
      </c>
      <c r="D7" s="25" t="inlineStr">
        <is>
          <t>Windsor residential implied rate at 1.94% -- highest among all 10 municipalities. Toronto is 0.67%.</t>
        </is>
      </c>
      <c r="E7" s="24" t="inlineStr">
        <is>
          <t>MEDIUM</t>
        </is>
      </c>
      <c r="F7" s="23" t="inlineStr">
        <is>
          <t>OPEN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6" customWidth="1" min="4" max="4"/>
    <col width="35" customWidth="1" min="5" max="5"/>
  </cols>
  <sheetData>
    <row r="1" ht="35" customHeight="1">
      <c r="A1" s="4" t="inlineStr">
        <is>
          <t>Residential Implied Tax Rate -- 2022 vs 2023 (sorted by highest rate)</t>
        </is>
      </c>
    </row>
    <row r="2">
      <c r="A2" s="5" t="inlineStr">
        <is>
          <t>Implied Rate = Total Tax Levied / CVA x 100  |  All rates from FIR Schedule 26A</t>
        </is>
      </c>
    </row>
    <row r="3" ht="30" customHeight="1">
      <c r="A3" s="6" t="inlineStr">
        <is>
          <t>Municipality</t>
        </is>
      </c>
      <c r="B3" s="6" t="inlineStr">
        <is>
          <t>Rate 2022 (%)</t>
        </is>
      </c>
      <c r="C3" s="6" t="inlineStr">
        <is>
          <t>Rate 2023 (%)</t>
        </is>
      </c>
      <c r="D3" s="6" t="inlineStr">
        <is>
          <t>Change (%)</t>
        </is>
      </c>
      <c r="E3" s="6" t="inlineStr">
        <is>
          <t>Note</t>
        </is>
      </c>
    </row>
    <row r="4">
      <c r="A4" s="7" t="inlineStr">
        <is>
          <t>Windsor</t>
        </is>
      </c>
      <c r="B4" s="9" t="n">
        <v>0.018537</v>
      </c>
      <c r="C4" s="9" t="n">
        <v>0.019396</v>
      </c>
      <c r="D4" s="9">
        <f>IFERROR(C4-B4,"-")</f>
        <v/>
      </c>
      <c r="E4" s="17" t="inlineStr">
        <is>
          <t>High rate -- above Ontario average</t>
        </is>
      </c>
    </row>
    <row r="5">
      <c r="A5" s="12" t="inlineStr">
        <is>
          <t>London</t>
        </is>
      </c>
      <c r="B5" s="14" t="n">
        <v>0.014222</v>
      </c>
      <c r="C5" s="14" t="n">
        <v>0.014611</v>
      </c>
      <c r="D5" s="14">
        <f>IFERROR(C5-B5,"-")</f>
        <v/>
      </c>
      <c r="E5" s="26" t="inlineStr"/>
    </row>
    <row r="6">
      <c r="A6" s="7" t="inlineStr">
        <is>
          <t>Kitchener</t>
        </is>
      </c>
      <c r="B6" s="9" t="n">
        <v>0.011411</v>
      </c>
      <c r="C6" s="9" t="n">
        <v>0.012121</v>
      </c>
      <c r="D6" s="9">
        <f>IFERROR(C6-B6,"-")</f>
        <v/>
      </c>
      <c r="E6" s="17" t="inlineStr"/>
    </row>
    <row r="7">
      <c r="A7" s="12" t="inlineStr">
        <is>
          <t>Ottawa</t>
        </is>
      </c>
      <c r="B7" s="14" t="n">
        <v>0.011219</v>
      </c>
      <c r="C7" s="14" t="n">
        <v>0.011458</v>
      </c>
      <c r="D7" s="14">
        <f>IFERROR(C7-B7,"-")</f>
        <v/>
      </c>
      <c r="E7" s="26" t="inlineStr"/>
    </row>
    <row r="8">
      <c r="A8" s="7" t="inlineStr">
        <is>
          <t>Brampton</t>
        </is>
      </c>
      <c r="B8" s="9" t="n">
        <v>0.009808000000000001</v>
      </c>
      <c r="C8" s="9" t="n">
        <v>0.010393</v>
      </c>
      <c r="D8" s="9">
        <f>IFERROR(C8-B8,"-")</f>
        <v/>
      </c>
      <c r="E8" s="17" t="inlineStr"/>
    </row>
    <row r="9">
      <c r="A9" s="12" t="inlineStr">
        <is>
          <t>Mississauga</t>
        </is>
      </c>
      <c r="B9" s="14" t="n">
        <v>0.008297000000000001</v>
      </c>
      <c r="C9" s="14" t="n">
        <v>0.008815</v>
      </c>
      <c r="D9" s="14">
        <f>IFERROR(C9-B9,"-")</f>
        <v/>
      </c>
      <c r="E9" s="26" t="inlineStr"/>
    </row>
    <row r="10">
      <c r="A10" s="7" t="inlineStr">
        <is>
          <t>Vaughan</t>
        </is>
      </c>
      <c r="B10" s="9" t="n">
        <v>0.006828</v>
      </c>
      <c r="C10" s="9" t="n">
        <v>0.006951000000000001</v>
      </c>
      <c r="D10" s="9">
        <f>IFERROR(C10-B10,"-")</f>
        <v/>
      </c>
      <c r="E10" s="17" t="inlineStr"/>
    </row>
    <row r="11">
      <c r="A11" s="12" t="inlineStr">
        <is>
          <t>Toronto</t>
        </is>
      </c>
      <c r="B11" s="14" t="n">
        <v>0.006319</v>
      </c>
      <c r="C11" s="14" t="n">
        <v>0.006663</v>
      </c>
      <c r="D11" s="14">
        <f>IFERROR(C11-B11,"-")</f>
        <v/>
      </c>
      <c r="E11" s="26" t="inlineStr"/>
    </row>
    <row r="12">
      <c r="A12" s="7" t="inlineStr">
        <is>
          <t>Markham</t>
        </is>
      </c>
      <c r="B12" s="9" t="n">
        <v>0.006449</v>
      </c>
      <c r="C12" s="9" t="n">
        <v>0.006626</v>
      </c>
      <c r="D12" s="9">
        <f>IFERROR(C12-B12,"-")</f>
        <v/>
      </c>
      <c r="E12" s="17" t="inlineStr"/>
    </row>
    <row r="13">
      <c r="A13" s="12" t="inlineStr">
        <is>
          <t>Hamilton</t>
        </is>
      </c>
      <c r="B13" s="14" t="n">
        <v>0.011752</v>
      </c>
      <c r="C13" s="26" t="n"/>
      <c r="D13" s="14">
        <f>IFERROR(C13-B13,"-")</f>
        <v/>
      </c>
      <c r="E13" s="26" t="inlineStr">
        <is>
          <t>2023 submission missing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2026-04-11T19:09:34Z</dcterms:created>
  <dcterms:modified xsi:type="dcterms:W3CDTF">2026-04-11T19:09:34Z</dcterms:modified>
</cp:coreProperties>
</file>